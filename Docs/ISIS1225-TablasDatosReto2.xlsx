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er\OneDrive - Universidad de los Andes\EDA\"/>
    </mc:Choice>
  </mc:AlternateContent>
  <xr:revisionPtr revIDLastSave="0" documentId="8_{E401F2BE-091D-48DF-8B22-F79D0D2014E5}" xr6:coauthVersionLast="47" xr6:coauthVersionMax="47" xr10:uidLastSave="{00000000-0000-0000-0000-000000000000}"/>
  <bookViews>
    <workbookView xWindow="-110" yWindow="-110" windowWidth="19420" windowHeight="11020" activeTab="2" xr2:uid="{D82936D8-D2C9-4EB2-9CBC-3665F65B95FD}"/>
  </bookViews>
  <sheets>
    <sheet name="01-Data Req. 4" sheetId="1" r:id="rId1"/>
    <sheet name="02-Gráfica Req. 4" sheetId="8" r:id="rId2"/>
    <sheet name="03-Análisis Req. 4" sheetId="9"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 l="1"/>
  <c r="H19" i="1"/>
  <c r="H20" i="1"/>
  <c r="H21" i="1"/>
  <c r="H22" i="1"/>
  <c r="H23" i="1"/>
  <c r="H24" i="1"/>
  <c r="H25" i="1"/>
  <c r="H26" i="1"/>
  <c r="H17" i="1"/>
  <c r="H4" i="1"/>
  <c r="H5" i="1"/>
  <c r="H6" i="1"/>
  <c r="H7" i="1"/>
  <c r="H8" i="1"/>
  <c r="H9" i="1"/>
  <c r="H10" i="1"/>
  <c r="H11" i="1"/>
  <c r="H12" i="1"/>
  <c r="H3" i="1"/>
  <c r="B17" i="1"/>
  <c r="B18" i="1"/>
  <c r="B19" i="1"/>
  <c r="B20" i="1"/>
  <c r="B21" i="1"/>
  <c r="B22" i="1"/>
  <c r="B23" i="1"/>
  <c r="B24" i="1"/>
  <c r="B25" i="1"/>
  <c r="B26" i="1"/>
  <c r="B3" i="1"/>
  <c r="B4" i="1"/>
  <c r="B5" i="1"/>
  <c r="B6" i="1"/>
  <c r="B7" i="1"/>
  <c r="B8" i="1"/>
  <c r="B9" i="1"/>
  <c r="B10" i="1"/>
  <c r="B11" i="1"/>
  <c r="B12" i="1"/>
</calcChain>
</file>

<file path=xl/sharedStrings.xml><?xml version="1.0" encoding="utf-8"?>
<sst xmlns="http://schemas.openxmlformats.org/spreadsheetml/2006/main" count="26" uniqueCount="24">
  <si>
    <t>TIEMPOS PARA REQUERIMIENTO 4 - RETO 1</t>
  </si>
  <si>
    <t>Porcentaje de la muestra</t>
  </si>
  <si>
    <t>Tamaño de la muestra</t>
  </si>
  <si>
    <t>Tiempo1</t>
  </si>
  <si>
    <t>Tiempo2</t>
  </si>
  <si>
    <t>Tiempo3</t>
  </si>
  <si>
    <t>Tiempo4</t>
  </si>
  <si>
    <t>Tiempo5</t>
  </si>
  <si>
    <t>Tiempo promedio (Reto 1)</t>
  </si>
  <si>
    <t>TIEMPOS PARA REQUERIMIENTO 4 - RETO 2</t>
  </si>
  <si>
    <t>Tiempo 1</t>
  </si>
  <si>
    <t>Tiempo 2</t>
  </si>
  <si>
    <t>Tiempo 3</t>
  </si>
  <si>
    <t>Tiempo 4</t>
  </si>
  <si>
    <t>Tiempo 5</t>
  </si>
  <si>
    <t>Tiempo promedio (Reto 2)</t>
  </si>
  <si>
    <t>Preguntas de análisis</t>
  </si>
  <si>
    <t>Respuestas</t>
  </si>
  <si>
    <t>Al analizar los tiempos promedio obtenidos para el requerimiento 4 en el Reto 1 y el Reto 2, ¿Qué diferencias se observan en el comportamiento a medida que aumenta el tamaño del archivo .csv? Explicar qué indican esos resultados sobre el rendimiento temporal de cada estructura de datos.</t>
  </si>
  <si>
    <t>Comparar la complejidad temporal teórica del requerimiento 4 implementado con las estructuras de datos del reto 1 frente a la implementación con tablas hash. ¿Teóricamente sobre cual Estructura de Datos se tiene mejor eficiencia temporal? ¿Los resultados experimentales demuestran el mismo resultado?</t>
  </si>
  <si>
    <t>A partir del análisis teórico y experimental realizado, ¿qué conclusión puede obtener sobre el impacto de la estructura de datos en el rendimiento de un algoritmo? ¿Es importante la selección de una estructura de datos específica según el tipo de requerimiento?</t>
  </si>
  <si>
    <t>Al ver la gráfica se nota claramente que ambas líneas suben a medida que el archivo crece, pero el Reto 1 (lista) sube más rápido. Esto tiene sentido porque buscar en una lista significa recorrerla elemento por elemento, entonces entre más datos haya, más tarda. El Reto 2 (hash map) también sube, pero más despacio, porque la tabla hash permite encontrar los datos directamente sin tener que revisar todo uno por uno.</t>
  </si>
  <si>
    <t>En teoría la tabla hash gana, porque buscar en ella es O(1) mientras que en la lista es O(n). Los resultados experimentales lo confirman: aunque las dos curvas son lineales (porque cargar el archivo siempre toma tiempo proporcional al tamaño), la del Reto 2 tiene una pendiente mucho más suave, lo que muestra que la búsqueda en sí es más rápida con el hash map.</t>
  </si>
  <si>
    <t>Sí importa bastante elegir bien la estructura de datos. En este caso, con el mismo requerimiento y los mismos datos, el hash map fue notablemente más rápido que la lista simplemente por cómo organiza la información internamente. Una estructura mal elegida puede hacer que una solución que funciona correctamente sea demasiado lenta cuando los datos crecen, así que siempre vale la pena pensar qué operaciones se van a hacer más seguido antes de decidir cómo guardar los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</si>
</sst>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Dax-Regular"/>
    </font>
    <font>
      <b/>
      <sz val="11"/>
      <color rgb="FF000000"/>
      <name val="Dax-Regular"/>
    </font>
    <font>
      <b/>
      <sz val="11"/>
      <color theme="1"/>
      <name val="Dax-Regular"/>
    </font>
    <font>
      <sz val="11"/>
      <color theme="0"/>
      <name val="Calibri"/>
      <family val="2"/>
      <scheme val="minor"/>
    </font>
    <font>
      <b/>
      <sz val="11"/>
      <color theme="1"/>
      <name val="Calibri"/>
      <family val="2"/>
      <scheme val="minor"/>
    </font>
    <font>
      <sz val="8"/>
      <name val="Calibri"/>
      <family val="2"/>
      <scheme val="minor"/>
    </font>
    <font>
      <sz val="11"/>
      <color theme="1"/>
      <name val="Dax-Regular"/>
      <charset val="1"/>
    </font>
  </fonts>
  <fills count="5">
    <fill>
      <patternFill patternType="none"/>
    </fill>
    <fill>
      <patternFill patternType="gray125"/>
    </fill>
    <fill>
      <patternFill patternType="solid">
        <fgColor theme="9" tint="0.59999389629810485"/>
        <bgColor indexed="64"/>
      </patternFill>
    </fill>
    <fill>
      <patternFill patternType="solid">
        <fgColor rgb="FFF69E76"/>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10" fontId="1" fillId="0" borderId="0" xfId="0" applyNumberFormat="1" applyFont="1" applyAlignment="1">
      <alignment horizontal="center" vertical="center" wrapText="1"/>
    </xf>
    <xf numFmtId="2" fontId="1" fillId="0" borderId="0" xfId="0" applyNumberFormat="1" applyFont="1" applyAlignment="1">
      <alignment horizontal="center" vertical="center"/>
    </xf>
    <xf numFmtId="0" fontId="2" fillId="0" borderId="0" xfId="0" applyFont="1" applyAlignment="1">
      <alignment horizontal="center" vertical="center" wrapText="1"/>
    </xf>
    <xf numFmtId="0" fontId="3" fillId="0" borderId="0" xfId="0" applyFont="1"/>
    <xf numFmtId="0" fontId="4" fillId="0" borderId="0" xfId="0" applyFont="1"/>
    <xf numFmtId="0" fontId="0" fillId="0" borderId="1" xfId="0" applyBorder="1"/>
    <xf numFmtId="0" fontId="0" fillId="4" borderId="1" xfId="0" applyFill="1" applyBorder="1" applyAlignment="1">
      <alignment horizontal="left" vertical="center" wrapText="1"/>
    </xf>
    <xf numFmtId="0" fontId="5" fillId="2" borderId="0" xfId="0" applyFont="1" applyFill="1" applyAlignment="1">
      <alignment horizontal="center" vertical="center"/>
    </xf>
    <xf numFmtId="0" fontId="5" fillId="3" borderId="0" xfId="0" applyFont="1" applyFill="1" applyAlignment="1">
      <alignment horizontal="center"/>
    </xf>
    <xf numFmtId="2" fontId="7" fillId="0" borderId="0" xfId="0" applyNumberFormat="1" applyFont="1" applyAlignment="1">
      <alignment horizontal="center" vertical="center"/>
    </xf>
    <xf numFmtId="0" fontId="0" fillId="0" borderId="0" xfId="0" applyAlignment="1">
      <alignment horizontal="center" vertical="center" wrapText="1"/>
    </xf>
  </cellXfs>
  <cellStyles count="1">
    <cellStyle name="Normal" xfId="0" builtinId="0"/>
  </cellStyles>
  <dxfs count="20">
    <dxf>
      <font>
        <b val="0"/>
        <i val="0"/>
        <strike val="0"/>
        <condense val="0"/>
        <extend val="0"/>
        <outline val="0"/>
        <shadow val="0"/>
        <u val="none"/>
        <vertAlign val="baseline"/>
        <sz val="11"/>
        <color theme="1"/>
        <name val="Dax-Regular"/>
        <charset val="1"/>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charset val="1"/>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charset val="1"/>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charset val="1"/>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charset val="1"/>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charset val="1"/>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charset val="1"/>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charset val="1"/>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charset val="1"/>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charset val="1"/>
        <scheme val="none"/>
      </font>
      <numFmt numFmtId="2" formatCode="0.00"/>
      <alignment horizontal="center" vertical="center" textRotation="0" wrapText="0" indent="0" justifyLastLine="0" shrinkToFit="0" readingOrder="0"/>
    </dxf>
    <dxf>
      <font>
        <b/>
        <i val="0"/>
        <strike val="0"/>
        <condense val="0"/>
        <extend val="0"/>
        <outline val="0"/>
        <shadow val="0"/>
        <u val="none"/>
        <vertAlign val="baseline"/>
        <sz val="11"/>
        <color rgb="FF000000"/>
        <name val="Dax-Regular"/>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fill>
        <patternFill patternType="none">
          <fgColor indexed="64"/>
          <bgColor indexed="65"/>
        </patternFill>
      </fill>
      <alignment horizontal="justify" vertical="center" textRotation="0" wrapText="1" indent="0" justifyLastLine="0" shrinkToFit="0" readingOrder="0"/>
    </dxf>
    <dxf>
      <font>
        <b/>
        <i val="0"/>
        <strike val="0"/>
        <condense val="0"/>
        <extend val="0"/>
        <outline val="0"/>
        <shadow val="0"/>
        <u val="none"/>
        <vertAlign val="baseline"/>
        <sz val="11"/>
        <color rgb="FF000000"/>
        <name val="Dax-Regular"/>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rgb="FF000000"/>
        <name val="Dax-Regular"/>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Dax-Regular"/>
        <scheme val="none"/>
      </font>
      <numFmt numFmtId="1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Dax-Regular"/>
        <scheme val="none"/>
      </font>
      <fill>
        <patternFill patternType="none">
          <fgColor indexed="64"/>
          <bgColor indexed="65"/>
        </patternFill>
      </fill>
      <alignment horizontal="center" vertical="center" textRotation="0" wrapText="1" indent="0" justifyLastLine="0" shrinkToFit="0" readingOrder="0"/>
    </dxf>
    <dxf>
      <font>
        <b/>
        <i val="0"/>
        <strike val="0"/>
        <condense val="0"/>
        <extend val="0"/>
        <outline val="0"/>
        <shadow val="0"/>
        <u val="none"/>
        <vertAlign val="baseline"/>
        <sz val="11"/>
        <color rgb="FF000000"/>
        <name val="Dax-Regular"/>
        <scheme val="none"/>
      </font>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colors>
    <mruColors>
      <color rgb="FFF69E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calcChain" Target="calcChain.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Comparación de tiempos de ejecucion para</a:t>
            </a:r>
            <a:r>
              <a:rPr lang="en-US" b="1" baseline="0"/>
              <a:t> el Requerimiento 4</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'01-Data Req. 4'!$H$2</c:f>
              <c:strCache>
                <c:ptCount val="1"/>
                <c:pt idx="0">
                  <c:v>Tiempo promedio (Reto 1)</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363811854896437"/>
                  <c:y val="-3.2945200031814204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'01-Data Req. 4'!$A$3:$A$14</c:f>
              <c:numCache>
                <c:formatCode>0.00%</c:formatCode>
                <c:ptCount val="12"/>
                <c:pt idx="0">
                  <c:v>0.1</c:v>
                </c:pt>
                <c:pt idx="1">
                  <c:v>0.2</c:v>
                </c:pt>
                <c:pt idx="2">
                  <c:v>0.3</c:v>
                </c:pt>
                <c:pt idx="3">
                  <c:v>0.4</c:v>
                </c:pt>
                <c:pt idx="4">
                  <c:v>0.5</c:v>
                </c:pt>
                <c:pt idx="5">
                  <c:v>0.6</c:v>
                </c:pt>
                <c:pt idx="6">
                  <c:v>0.7</c:v>
                </c:pt>
                <c:pt idx="7">
                  <c:v>0.8</c:v>
                </c:pt>
                <c:pt idx="8">
                  <c:v>0.9</c:v>
                </c:pt>
                <c:pt idx="9">
                  <c:v>1</c:v>
                </c:pt>
              </c:numCache>
            </c:numRef>
          </c:xVal>
          <c:yVal>
            <c:numRef>
              <c:f>'01-Data Req. 4'!$C$3:$C$14</c:f>
              <c:numCache>
                <c:formatCode>0.00</c:formatCode>
                <c:ptCount val="12"/>
                <c:pt idx="0">
                  <c:v>4.96</c:v>
                </c:pt>
                <c:pt idx="1">
                  <c:v>9.9600000000000009</c:v>
                </c:pt>
                <c:pt idx="2">
                  <c:v>14.27</c:v>
                </c:pt>
                <c:pt idx="3">
                  <c:v>19.66</c:v>
                </c:pt>
                <c:pt idx="4">
                  <c:v>25.21</c:v>
                </c:pt>
                <c:pt idx="5">
                  <c:v>28.88</c:v>
                </c:pt>
                <c:pt idx="6">
                  <c:v>35.299999999999997</c:v>
                </c:pt>
                <c:pt idx="7">
                  <c:v>39.35</c:v>
                </c:pt>
                <c:pt idx="8">
                  <c:v>44.94</c:v>
                </c:pt>
                <c:pt idx="9">
                  <c:v>48.928399920463598</c:v>
                </c:pt>
              </c:numCache>
            </c:numRef>
          </c:yVal>
          <c:smooth val="1"/>
          <c:extLst>
            <c:ext xmlns:c16="http://schemas.microsoft.com/office/drawing/2014/chart" uri="{C3380CC4-5D6E-409C-BE32-E72D297353CC}">
              <c16:uniqueId val="{00000000-B3D4-4A09-BEFF-C643A08A798B}"/>
            </c:ext>
          </c:extLst>
        </c:ser>
        <c:ser>
          <c:idx val="1"/>
          <c:order val="1"/>
          <c:tx>
            <c:strRef>
              <c:f>'01-Data Req. 4'!$H$16</c:f>
              <c:strCache>
                <c:ptCount val="1"/>
                <c:pt idx="0">
                  <c:v>Tiempo promedio (Reto 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593553005287829E-2"/>
                  <c:y val="0.1237672790901137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'01-Data Req. 4'!$A$17:$A$26</c:f>
              <c:numCache>
                <c:formatCode>0.00%</c:formatCode>
                <c:ptCount val="10"/>
                <c:pt idx="0">
                  <c:v>0.1</c:v>
                </c:pt>
                <c:pt idx="1">
                  <c:v>0.2</c:v>
                </c:pt>
                <c:pt idx="2">
                  <c:v>0.3</c:v>
                </c:pt>
                <c:pt idx="3">
                  <c:v>0.4</c:v>
                </c:pt>
                <c:pt idx="4">
                  <c:v>0.5</c:v>
                </c:pt>
                <c:pt idx="5">
                  <c:v>0.6</c:v>
                </c:pt>
                <c:pt idx="6">
                  <c:v>0.7</c:v>
                </c:pt>
                <c:pt idx="7">
                  <c:v>0.8</c:v>
                </c:pt>
                <c:pt idx="8">
                  <c:v>0.9</c:v>
                </c:pt>
                <c:pt idx="9">
                  <c:v>1</c:v>
                </c:pt>
              </c:numCache>
            </c:numRef>
          </c:xVal>
          <c:yVal>
            <c:numRef>
              <c:f>'01-Data Req. 4'!$H$17:$H$26</c:f>
              <c:numCache>
                <c:formatCode>General</c:formatCode>
                <c:ptCount val="10"/>
                <c:pt idx="0">
                  <c:v>14.074000000000002</c:v>
                </c:pt>
                <c:pt idx="1">
                  <c:v>16.631999999999998</c:v>
                </c:pt>
                <c:pt idx="2">
                  <c:v>19.797999999999998</c:v>
                </c:pt>
                <c:pt idx="3">
                  <c:v>21.776</c:v>
                </c:pt>
                <c:pt idx="4">
                  <c:v>24.952000000000002</c:v>
                </c:pt>
                <c:pt idx="5">
                  <c:v>27.322000000000003</c:v>
                </c:pt>
                <c:pt idx="6">
                  <c:v>30.181999999999999</c:v>
                </c:pt>
                <c:pt idx="7">
                  <c:v>32.414000000000001</c:v>
                </c:pt>
                <c:pt idx="8">
                  <c:v>35.14</c:v>
                </c:pt>
                <c:pt idx="9">
                  <c:v>38.908000000000001</c:v>
                </c:pt>
              </c:numCache>
            </c:numRef>
          </c:yVal>
          <c:smooth val="1"/>
          <c:extLst>
            <c:ext xmlns:c16="http://schemas.microsoft.com/office/drawing/2014/chart" uri="{C3380CC4-5D6E-409C-BE32-E72D297353CC}">
              <c16:uniqueId val="{00000001-B3D4-4A09-BEFF-C643A08A798B}"/>
            </c:ext>
          </c:extLst>
        </c:ser>
        <c:dLbls>
          <c:showLegendKey val="0"/>
          <c:showVal val="0"/>
          <c:showCatName val="0"/>
          <c:showSerName val="0"/>
          <c:showPercent val="0"/>
          <c:showBubbleSize val="0"/>
        </c:dLbls>
        <c:axId val="1328118000"/>
        <c:axId val="1328121328"/>
      </c:scatterChart>
      <c:valAx>
        <c:axId val="132811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Tamaño</a:t>
                </a:r>
                <a:r>
                  <a:rPr lang="en-US" b="1" baseline="0"/>
                  <a:t> de la muestra [Porcentaje]</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21328"/>
        <c:crosses val="autoZero"/>
        <c:crossBetween val="midCat"/>
      </c:valAx>
      <c:valAx>
        <c:axId val="1328121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Tiempo de Ejecución [ms]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180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D4D373F-B89D-476A-916E-D6B8B50B0AC1}">
  <sheetPr>
    <tabColor theme="9" tint="0.59999389629810485"/>
  </sheetPr>
  <sheetViews>
    <sheetView zoomScale="7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1400" cy="6286500"/>
    <xdr:graphicFrame macro="">
      <xdr:nvGraphicFramePr>
        <xdr:cNvPr id="2" name="Chart 1">
          <a:extLst>
            <a:ext uri="{FF2B5EF4-FFF2-40B4-BE49-F238E27FC236}">
              <a16:creationId xmlns:a16="http://schemas.microsoft.com/office/drawing/2014/main" id="{E62ACB43-BF23-44E0-A2C1-1BE0D48E226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2D0253-75B0-4C0B-8972-D03303899249}" name="Table1" displayName="Table1" ref="A2:H12" totalsRowShown="0" headerRowDxfId="19" dataDxfId="18">
  <autoFilter ref="A2:H12" xr:uid="{072D0253-75B0-4C0B-8972-D0330389924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7AF2A2F-BC4B-404E-9B8B-256DA178E68B}" name="Porcentaje de la muestra" dataDxfId="17"/>
    <tableColumn id="2" xr3:uid="{23CECC62-35E0-466E-9502-4F5CC2E6F7A7}" name="Tamaño de la muestra" dataDxfId="16">
      <calculatedColumnFormula>Table1[[#This Row],[Porcentaje de la muestra]]*100000</calculatedColumnFormula>
    </tableColumn>
    <tableColumn id="6" xr3:uid="{1D7A89FD-B4C8-4B63-8144-3D2813CE09D2}" name="Tiempo1" dataDxfId="9"/>
    <tableColumn id="7" xr3:uid="{694553F5-E3D6-4DD7-9F82-2F775378069C}" name="Tiempo2" dataDxfId="8"/>
    <tableColumn id="10" xr3:uid="{DC77D538-1BF6-4CC8-A666-55E3AECB1094}" name="Tiempo3" dataDxfId="7"/>
    <tableColumn id="12" xr3:uid="{55DDEB9A-1D37-47AF-A22B-DCDED00B45F1}" name="Tiempo4" dataDxfId="6"/>
    <tableColumn id="13" xr3:uid="{18627A96-D9BD-4918-AC15-00FEC9F6C145}" name="Tiempo5" dataDxfId="5"/>
    <tableColumn id="3" xr3:uid="{19B1D273-887B-4392-991E-015D36D99E5B}" name="Tiempo promedio (Reto 1)" dataDxfId="15">
      <calculatedColumnFormula>AVERAGE(Table1[[#This Row],[Tiempo1]:[Tiempo5]])</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5EFFA4-2B65-46C5-8257-6884800B9577}" name="Table13" displayName="Table13" ref="A16:H26" totalsRowShown="0" headerRowDxfId="14" dataDxfId="13">
  <autoFilter ref="A16:H26" xr:uid="{5C24B5A8-1B8E-4092-B34A-66FF5413D10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6584851-71BC-4FF5-B248-C3F46BA653AF}" name="Porcentaje de la muestra" dataDxfId="12"/>
    <tableColumn id="2" xr3:uid="{4F9B7329-040C-4D35-96E7-B9181424DC65}" name="Tamaño de la muestra" dataDxfId="11">
      <calculatedColumnFormula>Table13[[#This Row],[Porcentaje de la muestra]]*100000</calculatedColumnFormula>
    </tableColumn>
    <tableColumn id="6" xr3:uid="{73B8EDF2-52F3-4761-86EF-C7C71418F742}" name="Tiempo 1" dataDxfId="4"/>
    <tableColumn id="7" xr3:uid="{1E7534A5-4635-46DD-9452-9E4AA3B877EC}" name="Tiempo 2" dataDxfId="3"/>
    <tableColumn id="10" xr3:uid="{24936BC1-C83A-4407-814F-11214A4E9891}" name="Tiempo 3" dataDxfId="2"/>
    <tableColumn id="12" xr3:uid="{EBD8DFA2-3D20-4288-8498-555F04A9538F}" name="Tiempo 4" dataDxfId="1"/>
    <tableColumn id="13" xr3:uid="{44A85E6E-039D-4504-AD1E-8FF29C055C05}" name="Tiempo 5" dataDxfId="0"/>
    <tableColumn id="3" xr3:uid="{BDA028DF-4CED-4928-B040-96AD8F8A43EB}" name="Tiempo promedio (Reto 2)" dataDxfId="10">
      <calculatedColumnFormula>AVERAGE(Table13[[#This Row],[Tiempo 1]:[Tiempo 5]])</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14742-4EBB-4241-AC8A-0E5F24F7BB7B}">
  <dimension ref="A1:H26"/>
  <sheetViews>
    <sheetView topLeftCell="A15" zoomScale="130" zoomScaleNormal="130" workbookViewId="0">
      <selection activeCell="G17" sqref="G17:G26"/>
    </sheetView>
  </sheetViews>
  <sheetFormatPr baseColWidth="10" defaultColWidth="8.81640625" defaultRowHeight="14.5"/>
  <cols>
    <col min="1" max="1" width="19.1796875" style="1" bestFit="1" customWidth="1"/>
    <col min="2" max="2" width="25.54296875" style="1" bestFit="1" customWidth="1"/>
    <col min="3" max="4" width="10.453125" style="1" bestFit="1" customWidth="1"/>
    <col min="5" max="5" width="10.453125" style="6" bestFit="1" customWidth="1"/>
    <col min="6" max="7" width="10.453125" bestFit="1" customWidth="1"/>
    <col min="8" max="12" width="24.453125" customWidth="1"/>
  </cols>
  <sheetData>
    <row r="1" spans="1:8" ht="14.25" customHeight="1">
      <c r="C1" s="9" t="s">
        <v>0</v>
      </c>
      <c r="D1" s="9"/>
      <c r="E1" s="9"/>
      <c r="F1" s="9"/>
      <c r="G1" s="9"/>
      <c r="H1" s="9"/>
    </row>
    <row r="2" spans="1:8" s="5" customFormat="1" ht="28">
      <c r="A2" s="4" t="s">
        <v>1</v>
      </c>
      <c r="B2" s="4" t="s">
        <v>2</v>
      </c>
      <c r="C2" s="4" t="s">
        <v>3</v>
      </c>
      <c r="D2" s="4" t="s">
        <v>4</v>
      </c>
      <c r="E2" s="4" t="s">
        <v>5</v>
      </c>
      <c r="F2" s="4" t="s">
        <v>6</v>
      </c>
      <c r="G2" s="4" t="s">
        <v>7</v>
      </c>
      <c r="H2" s="4" t="s">
        <v>8</v>
      </c>
    </row>
    <row r="3" spans="1:8" s="5" customFormat="1" ht="14">
      <c r="A3" s="2">
        <v>0.1</v>
      </c>
      <c r="B3" s="3">
        <f>Table1[[#This Row],[Porcentaje de la muestra]]*100000</f>
        <v>10000</v>
      </c>
      <c r="C3" s="11">
        <v>4.96</v>
      </c>
      <c r="D3" s="11">
        <v>4.66</v>
      </c>
      <c r="E3" s="11">
        <v>4.78</v>
      </c>
      <c r="F3" s="11">
        <v>4.76</v>
      </c>
      <c r="G3" s="11">
        <v>5.01</v>
      </c>
      <c r="H3" s="4">
        <f>AVERAGE(Table1[[#This Row],[Tiempo1]:[Tiempo5]])</f>
        <v>4.8340000000000005</v>
      </c>
    </row>
    <row r="4" spans="1:8" s="5" customFormat="1" ht="14">
      <c r="A4" s="2">
        <v>0.2</v>
      </c>
      <c r="B4" s="3">
        <f>Table1[[#This Row],[Porcentaje de la muestra]]*100000</f>
        <v>20000</v>
      </c>
      <c r="C4" s="11">
        <v>9.9600000000000009</v>
      </c>
      <c r="D4" s="11">
        <v>10.17</v>
      </c>
      <c r="E4" s="11">
        <v>9.3800000000000008</v>
      </c>
      <c r="F4" s="11">
        <v>9.7100000000000009</v>
      </c>
      <c r="G4" s="11">
        <v>9.33</v>
      </c>
      <c r="H4" s="4">
        <f>AVERAGE(Table1[[#This Row],[Tiempo1]:[Tiempo5]])</f>
        <v>9.7100000000000009</v>
      </c>
    </row>
    <row r="5" spans="1:8">
      <c r="A5" s="2">
        <v>0.3</v>
      </c>
      <c r="B5" s="3">
        <f>Table1[[#This Row],[Porcentaje de la muestra]]*100000</f>
        <v>30000</v>
      </c>
      <c r="C5" s="11">
        <v>14.27</v>
      </c>
      <c r="D5" s="11">
        <v>14.69</v>
      </c>
      <c r="E5" s="11">
        <v>13.98</v>
      </c>
      <c r="F5" s="11">
        <v>14.24</v>
      </c>
      <c r="G5" s="11">
        <v>14.9</v>
      </c>
      <c r="H5" s="4">
        <f>AVERAGE(Table1[[#This Row],[Tiempo1]:[Tiempo5]])</f>
        <v>14.416</v>
      </c>
    </row>
    <row r="6" spans="1:8">
      <c r="A6" s="2">
        <v>0.4</v>
      </c>
      <c r="B6" s="3">
        <f>Table1[[#This Row],[Porcentaje de la muestra]]*100000</f>
        <v>40000</v>
      </c>
      <c r="C6" s="11">
        <v>19.66</v>
      </c>
      <c r="D6" s="11">
        <v>19.02</v>
      </c>
      <c r="E6" s="11">
        <v>19.75</v>
      </c>
      <c r="F6" s="11">
        <v>20.18</v>
      </c>
      <c r="G6" s="11">
        <v>18.61</v>
      </c>
      <c r="H6" s="4">
        <f>AVERAGE(Table1[[#This Row],[Tiempo1]:[Tiempo5]])</f>
        <v>19.443999999999999</v>
      </c>
    </row>
    <row r="7" spans="1:8">
      <c r="A7" s="2">
        <v>0.5</v>
      </c>
      <c r="B7" s="3">
        <f>Table1[[#This Row],[Porcentaje de la muestra]]*100000</f>
        <v>50000</v>
      </c>
      <c r="C7" s="11">
        <v>25.21</v>
      </c>
      <c r="D7" s="11">
        <v>24.95</v>
      </c>
      <c r="E7" s="11">
        <v>24.07</v>
      </c>
      <c r="F7" s="11">
        <v>23.62</v>
      </c>
      <c r="G7" s="11">
        <v>25.58</v>
      </c>
      <c r="H7" s="4">
        <f>AVERAGE(Table1[[#This Row],[Tiempo1]:[Tiempo5]])</f>
        <v>24.686</v>
      </c>
    </row>
    <row r="8" spans="1:8">
      <c r="A8" s="2">
        <v>0.6</v>
      </c>
      <c r="B8" s="3">
        <f>Table1[[#This Row],[Porcentaje de la muestra]]*100000</f>
        <v>60000</v>
      </c>
      <c r="C8" s="11">
        <v>28.88</v>
      </c>
      <c r="D8" s="11">
        <v>28.16</v>
      </c>
      <c r="E8" s="11">
        <v>28.17</v>
      </c>
      <c r="F8" s="11">
        <v>30.38</v>
      </c>
      <c r="G8" s="11">
        <v>29.66</v>
      </c>
      <c r="H8" s="4">
        <f>AVERAGE(Table1[[#This Row],[Tiempo1]:[Tiempo5]])</f>
        <v>29.05</v>
      </c>
    </row>
    <row r="9" spans="1:8">
      <c r="A9" s="2">
        <v>0.7</v>
      </c>
      <c r="B9" s="3">
        <f>Table1[[#This Row],[Porcentaje de la muestra]]*100000</f>
        <v>70000</v>
      </c>
      <c r="C9" s="11">
        <v>35.299999999999997</v>
      </c>
      <c r="D9" s="11">
        <v>35.04</v>
      </c>
      <c r="E9" s="11">
        <v>34.369999999999997</v>
      </c>
      <c r="F9" s="11">
        <v>35.869999999999997</v>
      </c>
      <c r="G9" s="11">
        <v>33.83</v>
      </c>
      <c r="H9" s="4">
        <f>AVERAGE(Table1[[#This Row],[Tiempo1]:[Tiempo5]])</f>
        <v>34.882000000000005</v>
      </c>
    </row>
    <row r="10" spans="1:8">
      <c r="A10" s="2">
        <v>0.8</v>
      </c>
      <c r="B10" s="3">
        <f>Table1[[#This Row],[Porcentaje de la muestra]]*100000</f>
        <v>80000</v>
      </c>
      <c r="C10" s="11">
        <v>39.35</v>
      </c>
      <c r="D10" s="11">
        <v>40.43</v>
      </c>
      <c r="E10" s="11">
        <v>39.61</v>
      </c>
      <c r="F10" s="11">
        <v>40.56</v>
      </c>
      <c r="G10" s="11">
        <v>39.450000000000003</v>
      </c>
      <c r="H10" s="4">
        <f>AVERAGE(Table1[[#This Row],[Tiempo1]:[Tiempo5]])</f>
        <v>39.879999999999995</v>
      </c>
    </row>
    <row r="11" spans="1:8">
      <c r="A11" s="2">
        <v>0.9</v>
      </c>
      <c r="B11" s="3">
        <f>Table1[[#This Row],[Porcentaje de la muestra]]*100000</f>
        <v>90000</v>
      </c>
      <c r="C11" s="11">
        <v>44.94</v>
      </c>
      <c r="D11" s="11">
        <v>42.04</v>
      </c>
      <c r="E11" s="11">
        <v>42.84</v>
      </c>
      <c r="F11" s="11">
        <v>43.11</v>
      </c>
      <c r="G11" s="11">
        <v>42.19</v>
      </c>
      <c r="H11" s="4">
        <f>AVERAGE(Table1[[#This Row],[Tiempo1]:[Tiempo5]])</f>
        <v>43.024000000000001</v>
      </c>
    </row>
    <row r="12" spans="1:8">
      <c r="A12" s="2">
        <v>1</v>
      </c>
      <c r="B12" s="3">
        <f>Table1[[#This Row],[Porcentaje de la muestra]]*100000</f>
        <v>100000</v>
      </c>
      <c r="C12" s="11">
        <v>48.928399920463598</v>
      </c>
      <c r="D12" s="11">
        <v>46.98</v>
      </c>
      <c r="E12" s="11">
        <v>47.84</v>
      </c>
      <c r="F12" s="11">
        <v>49.59</v>
      </c>
      <c r="G12" s="11">
        <v>48.27</v>
      </c>
      <c r="H12" s="4">
        <f>AVERAGE(Table1[[#This Row],[Tiempo1]:[Tiempo5]])</f>
        <v>48.321679984092725</v>
      </c>
    </row>
    <row r="13" spans="1:8">
      <c r="A13" s="2"/>
      <c r="B13" s="3"/>
      <c r="C13" s="4"/>
      <c r="D13" s="4"/>
      <c r="E13" s="4"/>
      <c r="F13" s="4"/>
      <c r="G13" s="4"/>
      <c r="H13" s="4"/>
    </row>
    <row r="15" spans="1:8" ht="14.25" customHeight="1">
      <c r="C15" s="10" t="s">
        <v>9</v>
      </c>
      <c r="D15" s="10"/>
      <c r="E15" s="10"/>
      <c r="F15" s="10"/>
      <c r="G15" s="10"/>
      <c r="H15" s="10"/>
    </row>
    <row r="16" spans="1:8" s="5" customFormat="1" ht="28">
      <c r="A16" s="4" t="s">
        <v>1</v>
      </c>
      <c r="B16" s="4" t="s">
        <v>2</v>
      </c>
      <c r="C16" s="4" t="s">
        <v>10</v>
      </c>
      <c r="D16" s="4" t="s">
        <v>11</v>
      </c>
      <c r="E16" s="4" t="s">
        <v>12</v>
      </c>
      <c r="F16" s="4" t="s">
        <v>13</v>
      </c>
      <c r="G16" s="4" t="s">
        <v>14</v>
      </c>
      <c r="H16" s="4" t="s">
        <v>15</v>
      </c>
    </row>
    <row r="17" spans="1:8" s="5" customFormat="1" ht="14">
      <c r="A17" s="2">
        <v>0.1</v>
      </c>
      <c r="B17" s="3">
        <f>Table13[[#This Row],[Porcentaje de la muestra]]*100000</f>
        <v>10000</v>
      </c>
      <c r="C17" s="11">
        <v>13.94</v>
      </c>
      <c r="D17" s="11">
        <v>13.76</v>
      </c>
      <c r="E17" s="11">
        <v>13.83</v>
      </c>
      <c r="F17" s="11">
        <v>14.58</v>
      </c>
      <c r="G17" s="11">
        <v>14.26</v>
      </c>
      <c r="H17" s="4">
        <f>AVERAGE(Table13[[#This Row],[Tiempo 1]:[Tiempo 5]])</f>
        <v>14.074000000000002</v>
      </c>
    </row>
    <row r="18" spans="1:8" s="5" customFormat="1" ht="14">
      <c r="A18" s="2">
        <v>0.2</v>
      </c>
      <c r="B18" s="3">
        <f>Table13[[#This Row],[Porcentaje de la muestra]]*100000</f>
        <v>20000</v>
      </c>
      <c r="C18" s="11">
        <v>16.899999999999999</v>
      </c>
      <c r="D18" s="11">
        <v>16.309999999999999</v>
      </c>
      <c r="E18" s="11">
        <v>17.059999999999999</v>
      </c>
      <c r="F18" s="11">
        <v>16.3</v>
      </c>
      <c r="G18" s="11">
        <v>16.59</v>
      </c>
      <c r="H18" s="4">
        <f>AVERAGE(Table13[[#This Row],[Tiempo 1]:[Tiempo 5]])</f>
        <v>16.631999999999998</v>
      </c>
    </row>
    <row r="19" spans="1:8">
      <c r="A19" s="2">
        <v>0.3</v>
      </c>
      <c r="B19" s="3">
        <f>Table13[[#This Row],[Porcentaje de la muestra]]*100000</f>
        <v>30000</v>
      </c>
      <c r="C19" s="11">
        <v>20.18</v>
      </c>
      <c r="D19" s="11">
        <v>19.64</v>
      </c>
      <c r="E19" s="11">
        <v>19.510000000000002</v>
      </c>
      <c r="F19" s="11">
        <v>19.71</v>
      </c>
      <c r="G19" s="11">
        <v>19.95</v>
      </c>
      <c r="H19" s="4">
        <f>AVERAGE(Table13[[#This Row],[Tiempo 1]:[Tiempo 5]])</f>
        <v>19.797999999999998</v>
      </c>
    </row>
    <row r="20" spans="1:8">
      <c r="A20" s="2">
        <v>0.4</v>
      </c>
      <c r="B20" s="3">
        <f>Table13[[#This Row],[Porcentaje de la muestra]]*100000</f>
        <v>40000</v>
      </c>
      <c r="C20" s="11">
        <v>22.57</v>
      </c>
      <c r="D20" s="11">
        <v>21.61</v>
      </c>
      <c r="E20" s="11">
        <v>21.26</v>
      </c>
      <c r="F20" s="11">
        <v>21.76</v>
      </c>
      <c r="G20" s="11">
        <v>21.68</v>
      </c>
      <c r="H20" s="4">
        <f>AVERAGE(Table13[[#This Row],[Tiempo 1]:[Tiempo 5]])</f>
        <v>21.776</v>
      </c>
    </row>
    <row r="21" spans="1:8">
      <c r="A21" s="2">
        <v>0.5</v>
      </c>
      <c r="B21" s="3">
        <f>Table13[[#This Row],[Porcentaje de la muestra]]*100000</f>
        <v>50000</v>
      </c>
      <c r="C21" s="11">
        <v>24.18</v>
      </c>
      <c r="D21" s="11">
        <v>25.63</v>
      </c>
      <c r="E21" s="11">
        <v>25.5</v>
      </c>
      <c r="F21" s="11">
        <v>24.39</v>
      </c>
      <c r="G21" s="11">
        <v>25.06</v>
      </c>
      <c r="H21" s="4">
        <f>AVERAGE(Table13[[#This Row],[Tiempo 1]:[Tiempo 5]])</f>
        <v>24.952000000000002</v>
      </c>
    </row>
    <row r="22" spans="1:8">
      <c r="A22" s="2">
        <v>0.6</v>
      </c>
      <c r="B22" s="3">
        <f>Table13[[#This Row],[Porcentaje de la muestra]]*100000</f>
        <v>60000</v>
      </c>
      <c r="C22" s="11">
        <v>27.19</v>
      </c>
      <c r="D22" s="11">
        <v>28.33</v>
      </c>
      <c r="E22" s="11">
        <v>27.33</v>
      </c>
      <c r="F22" s="11">
        <v>26.9</v>
      </c>
      <c r="G22" s="11">
        <v>26.86</v>
      </c>
      <c r="H22" s="4">
        <f>AVERAGE(Table13[[#This Row],[Tiempo 1]:[Tiempo 5]])</f>
        <v>27.322000000000003</v>
      </c>
    </row>
    <row r="23" spans="1:8">
      <c r="A23" s="2">
        <v>0.7</v>
      </c>
      <c r="B23" s="3">
        <f>Table13[[#This Row],[Porcentaje de la muestra]]*100000</f>
        <v>70000</v>
      </c>
      <c r="C23" s="11">
        <v>30.23</v>
      </c>
      <c r="D23" s="11">
        <v>29.51</v>
      </c>
      <c r="E23" s="11">
        <v>30.29</v>
      </c>
      <c r="F23" s="11">
        <v>31.04</v>
      </c>
      <c r="G23" s="11">
        <v>29.84</v>
      </c>
      <c r="H23" s="4">
        <f>AVERAGE(Table13[[#This Row],[Tiempo 1]:[Tiempo 5]])</f>
        <v>30.181999999999999</v>
      </c>
    </row>
    <row r="24" spans="1:8">
      <c r="A24" s="2">
        <v>0.8</v>
      </c>
      <c r="B24" s="3">
        <f>Table13[[#This Row],[Porcentaje de la muestra]]*100000</f>
        <v>80000</v>
      </c>
      <c r="C24" s="11">
        <v>32.01</v>
      </c>
      <c r="D24" s="11">
        <v>34.049999999999997</v>
      </c>
      <c r="E24" s="11">
        <v>32.770000000000003</v>
      </c>
      <c r="F24" s="11">
        <v>31.68</v>
      </c>
      <c r="G24" s="11">
        <v>31.56</v>
      </c>
      <c r="H24" s="4">
        <f>AVERAGE(Table13[[#This Row],[Tiempo 1]:[Tiempo 5]])</f>
        <v>32.414000000000001</v>
      </c>
    </row>
    <row r="25" spans="1:8">
      <c r="A25" s="2">
        <v>0.9</v>
      </c>
      <c r="B25" s="3">
        <f>Table13[[#This Row],[Porcentaje de la muestra]]*100000</f>
        <v>90000</v>
      </c>
      <c r="C25" s="11">
        <v>34.31</v>
      </c>
      <c r="D25" s="11">
        <v>35.78</v>
      </c>
      <c r="E25" s="11">
        <v>36.24</v>
      </c>
      <c r="F25" s="11">
        <v>35.19</v>
      </c>
      <c r="G25" s="11">
        <v>34.18</v>
      </c>
      <c r="H25" s="4">
        <f>AVERAGE(Table13[[#This Row],[Tiempo 1]:[Tiempo 5]])</f>
        <v>35.14</v>
      </c>
    </row>
    <row r="26" spans="1:8">
      <c r="A26" s="2">
        <v>1</v>
      </c>
      <c r="B26" s="3">
        <f>Table13[[#This Row],[Porcentaje de la muestra]]*100000</f>
        <v>100000</v>
      </c>
      <c r="C26" s="11">
        <v>38.08</v>
      </c>
      <c r="D26" s="11">
        <v>39.590000000000003</v>
      </c>
      <c r="E26" s="11">
        <v>38.17</v>
      </c>
      <c r="F26" s="11">
        <v>39.520000000000003</v>
      </c>
      <c r="G26" s="11">
        <v>39.18</v>
      </c>
      <c r="H26" s="4">
        <f>AVERAGE(Table13[[#This Row],[Tiempo 1]:[Tiempo 5]])</f>
        <v>38.908000000000001</v>
      </c>
    </row>
  </sheetData>
  <mergeCells count="2">
    <mergeCell ref="C1:H1"/>
    <mergeCell ref="C15:H15"/>
  </mergeCells>
  <phoneticPr fontId="6"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D320-7E14-4249-AED7-A0983CAA46F0}">
  <sheetPr>
    <tabColor theme="4" tint="0.79998168889431442"/>
  </sheetPr>
  <dimension ref="A1:B4"/>
  <sheetViews>
    <sheetView tabSelected="1" topLeftCell="A2" workbookViewId="0">
      <selection activeCell="B4" sqref="B4"/>
    </sheetView>
  </sheetViews>
  <sheetFormatPr baseColWidth="10" defaultColWidth="11.453125" defaultRowHeight="14.5"/>
  <cols>
    <col min="1" max="1" width="61.81640625" customWidth="1"/>
    <col min="2" max="2" width="90.453125" customWidth="1"/>
  </cols>
  <sheetData>
    <row r="1" spans="1:2">
      <c r="A1" s="7" t="s">
        <v>16</v>
      </c>
      <c r="B1" s="7" t="s">
        <v>17</v>
      </c>
    </row>
    <row r="2" spans="1:2" ht="110.15" customHeight="1">
      <c r="A2" s="8" t="s">
        <v>18</v>
      </c>
      <c r="B2" s="12" t="s">
        <v>21</v>
      </c>
    </row>
    <row r="3" spans="1:2" ht="110.15" customHeight="1">
      <c r="A3" s="8" t="s">
        <v>19</v>
      </c>
      <c r="B3" s="12" t="s">
        <v>22</v>
      </c>
    </row>
    <row r="4" spans="1:2" ht="110.15" customHeight="1">
      <c r="A4" s="8" t="s">
        <v>20</v>
      </c>
      <c r="B4" s="12" t="s">
        <v>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3858CF01A2EF24688B692775F4C60A4" ma:contentTypeVersion="17" ma:contentTypeDescription="Crear nuevo documento." ma:contentTypeScope="" ma:versionID="39f2afe36700b83939ba6e49cc253596">
  <xsd:schema xmlns:xsd="http://www.w3.org/2001/XMLSchema" xmlns:xs="http://www.w3.org/2001/XMLSchema" xmlns:p="http://schemas.microsoft.com/office/2006/metadata/properties" xmlns:ns2="164883f8-7691-4ecf-b54a-664c0d0edefe" xmlns:ns3="85e30bcc-d76c-4413-8e4d-2dce22fb0743" targetNamespace="http://schemas.microsoft.com/office/2006/metadata/properties" ma:root="true" ma:fieldsID="24098648399639f58895cd89d20500e6" ns2:_="" ns3:_="">
    <xsd:import namespace="164883f8-7691-4ecf-b54a-664c0d0edefe"/>
    <xsd:import namespace="85e30bcc-d76c-4413-8e4d-2dce22fb074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4883f8-7691-4ecf-b54a-664c0d0ede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a38e7027-190f-4f90-8839-9f8250567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e30bcc-d76c-4413-8e4d-2dce22fb0743"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26816d37-b675-4589-8225-e6a38877c704}" ma:internalName="TaxCatchAll" ma:showField="CatchAllData" ma:web="85e30bcc-d76c-4413-8e4d-2dce22fb07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85e30bcc-d76c-4413-8e4d-2dce22fb0743">
      <UserInfo>
        <DisplayName>Carlos Andres Lozano Garzon</DisplayName>
        <AccountId>13</AccountId>
        <AccountType/>
      </UserInfo>
      <UserInfo>
        <DisplayName>Dario Ernesto Correal Torres</DisplayName>
        <AccountId>15</AccountId>
        <AccountType/>
      </UserInfo>
      <UserInfo>
        <DisplayName>Mario  Fernando De la rosa Rosero</DisplayName>
        <AccountId>16</AccountId>
        <AccountType/>
      </UserInfo>
      <UserInfo>
        <DisplayName>Christian Camilo Aparicio Baquen</DisplayName>
        <AccountId>50</AccountId>
        <AccountType/>
      </UserInfo>
      <UserInfo>
        <DisplayName>Arturo Henao Chaparro</DisplayName>
        <AccountId>48</AccountId>
        <AccountType/>
      </UserInfo>
      <UserInfo>
        <DisplayName>Luis Esteban Florez Salamanca</DisplayName>
        <AccountId>33</AccountId>
        <AccountType/>
      </UserInfo>
      <UserInfo>
        <DisplayName>Ivan David Salazar Cardenas</DisplayName>
        <AccountId>52</AccountId>
        <AccountType/>
      </UserInfo>
      <UserInfo>
        <DisplayName>Juan Carlos Marin Morales</DisplayName>
        <AccountId>53</AccountId>
        <AccountType/>
      </UserInfo>
      <UserInfo>
        <DisplayName>Sofia Duque Gomez</DisplayName>
        <AccountId>60</AccountId>
        <AccountType/>
      </UserInfo>
      <UserInfo>
        <DisplayName>Andres Felipe Romero Brand</DisplayName>
        <AccountId>91</AccountId>
        <AccountType/>
      </UserInfo>
      <UserInfo>
        <DisplayName>Lindsay Vanessa Pinto Morato</DisplayName>
        <AccountId>92</AccountId>
        <AccountType/>
      </UserInfo>
      <UserInfo>
        <DisplayName>Miguel Angel Acosta Walteros</DisplayName>
        <AccountId>94</AccountId>
        <AccountType/>
      </UserInfo>
      <UserInfo>
        <DisplayName>Juan David Diaz Ipuz</DisplayName>
        <AccountId>90</AccountId>
        <AccountType/>
      </UserInfo>
      <UserInfo>
        <DisplayName>Lily Aitana valentina Duque Chavez</DisplayName>
        <AccountId>17</AccountId>
        <AccountType/>
      </UserInfo>
      <UserInfo>
        <DisplayName>Isaac David Bermudez Lara</DisplayName>
        <AccountId>95</AccountId>
        <AccountType/>
      </UserInfo>
      <UserInfo>
        <DisplayName>Daniel Alejandro Angel Fuertes</DisplayName>
        <AccountId>55</AccountId>
        <AccountType/>
      </UserInfo>
      <UserInfo>
        <DisplayName>Jeniffer Liliam Mendoza Espinosa</DisplayName>
        <AccountId>97</AccountId>
        <AccountType/>
      </UserInfo>
      <UserInfo>
        <DisplayName>Kevin Cohen Solano</DisplayName>
        <AccountId>93</AccountId>
        <AccountType/>
      </UserInfo>
      <UserInfo>
        <DisplayName>Cesar Luis Moreno Gonzalez</DisplayName>
        <AccountId>96</AccountId>
        <AccountType/>
      </UserInfo>
      <UserInfo>
        <DisplayName>Jose Cristobal Arroyo Castellanos</DisplayName>
        <AccountId>54</AccountId>
        <AccountType/>
      </UserInfo>
    </SharedWithUsers>
    <TaxCatchAll xmlns="85e30bcc-d76c-4413-8e4d-2dce22fb0743" xsi:nil="true"/>
    <lcf76f155ced4ddcb4097134ff3c332f xmlns="164883f8-7691-4ecf-b54a-664c0d0edef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DF3742-38F2-4B99-B335-CC4F04ED9F45}">
  <ds:schemaRefs>
    <ds:schemaRef ds:uri="http://schemas.microsoft.com/sharepoint/v3/contenttype/forms"/>
  </ds:schemaRefs>
</ds:datastoreItem>
</file>

<file path=customXml/itemProps2.xml><?xml version="1.0" encoding="utf-8"?>
<ds:datastoreItem xmlns:ds="http://schemas.openxmlformats.org/officeDocument/2006/customXml" ds:itemID="{5782CBBC-05AF-4A6B-A1AF-29EFB37A75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4883f8-7691-4ecf-b54a-664c0d0edefe"/>
    <ds:schemaRef ds:uri="85e30bcc-d76c-4413-8e4d-2dce22fb07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C5E1E0-C817-4769-9D2D-1DC296B681FA}">
  <ds:schemaRefs>
    <ds:schemaRef ds:uri="http://schemas.microsoft.com/office/2006/metadata/properties"/>
    <ds:schemaRef ds:uri="http://schemas.microsoft.com/office/infopath/2007/PartnerControls"/>
    <ds:schemaRef ds:uri="85e30bcc-d76c-4413-8e4d-2dce22fb0743"/>
    <ds:schemaRef ds:uri="164883f8-7691-4ecf-b54a-664c0d0ede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Gráficos</vt:lpstr>
      </vt:variant>
      <vt:variant>
        <vt:i4>1</vt:i4>
      </vt:variant>
    </vt:vector>
  </HeadingPairs>
  <TitlesOfParts>
    <vt:vector size="3" baseType="lpstr">
      <vt:lpstr>01-Data Req. 4</vt:lpstr>
      <vt:lpstr>03-Análisis Req. 4</vt:lpstr>
      <vt:lpstr>02-Gráfica Req.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Felipe Arteaga Martin</dc:creator>
  <cp:keywords/>
  <dc:description/>
  <cp:lastModifiedBy>Gabriel Moya</cp:lastModifiedBy>
  <cp:revision/>
  <dcterms:created xsi:type="dcterms:W3CDTF">2021-02-18T03:17:26Z</dcterms:created>
  <dcterms:modified xsi:type="dcterms:W3CDTF">2026-04-09T03:58:32Z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0x01010023858CF01A2EF24688B692775F4C60A4</vt:lpwstr>
  </property>
  <property fmtid="{D5CDD505-2E9C-101B-9397-08002B2CF9AE}" pid="3" name="MediaServiceImageTags">
    <vt:lpwstr/>
  </property>
</Properties>
</file>